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889e40dcc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排名" sheetId="1" r:id="R5ae9e8d45502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E5D7B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421a3b2494a35" /><Relationship Type="http://schemas.openxmlformats.org/officeDocument/2006/relationships/theme" Target="/xl/theme/theme1.xml" Id="R3e364f588a994e63" /><Relationship Type="http://schemas.openxmlformats.org/officeDocument/2006/relationships/sharedStrings" Target="/xl/sharedStrings.xml" Id="R9ce039b71fa84959" /><Relationship Type="http://schemas.openxmlformats.org/officeDocument/2006/relationships/worksheet" Target="/xl/worksheets/sheet1.xml" Id="R5ae9e8d4550248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2" hidden="0" customWidth="1"/>
    <x:col min="10" max="10" width="38" hidden="0" customWidth="1"/>
  </x:cols>
  <x:sheetData>
    <x:row r="1" ht="26" customHeight="1">
      <x:c r="A1" s="7" t="str">
        <x:v>排名</x:v>
      </x:c>
      <x:c r="B1" s="7" t="str">
        <x:v>信用代码</x:v>
      </x:c>
      <x:c r="C1" s="7" t="str">
        <x:v>供应商</x:v>
      </x:c>
      <x:c r="D1" s="7" t="str">
        <x:v>质量分</x:v>
      </x:c>
      <x:c r="E1" s="7" t="str">
        <x:v>交付分</x:v>
      </x:c>
      <x:c r="F1" s="7" t="str">
        <x:v>价格分</x:v>
      </x:c>
      <x:c r="G1" s="7" t="str">
        <x:v>服务分</x:v>
      </x:c>
      <x:c r="H1" s="7" t="str">
        <x:v>加权总分</x:v>
      </x:c>
      <x:c r="I1" s="7" t="str">
        <x:v>采用记录</x:v>
      </x:c>
      <x:c r="J1" s="7" t="str">
        <x:v>冲突说明</x:v>
      </x:c>
    </x:row>
    <x:row r="2">
      <x:c r="A2" s="4" t="n">
        <x:f>RANK(H2,$H$2:$H$5,0)</x:f>
        <x:v>2</x:v>
      </x:c>
      <x:c r="B2" s="4" t="str">
        <x:v>91330101A001</x:v>
      </x:c>
      <x:c r="C2" s="4" t="str">
        <x:v>云杉计算有限公司</x:v>
      </x:c>
      <x:c r="D2" s="4" t="n">
        <x:v>93</x:v>
      </x:c>
      <x:c r="E2" s="4" t="n">
        <x:v>86</x:v>
      </x:c>
      <x:c r="F2" s="4" t="n">
        <x:v>87</x:v>
      </x:c>
      <x:c r="G2" s="4" t="n">
        <x:v>92</x:v>
      </x:c>
      <x:c r="H2" s="8" t="n">
        <x:f>D2*40%+E2*30%+F2*20%+G2*10%</x:f>
        <x:v>89.60000000000001</x:v>
      </x:c>
      <x:c r="I2" s="4" t="str">
        <x:v>终审</x:v>
      </x:c>
      <x:c r="J2" s="9" t="str">
        <x:v>名称与初审记录不同，以信用代码去重并采用终审</x:v>
      </x:c>
    </x:row>
    <x:row r="3">
      <x:c r="A3" s="4" t="n">
        <x:f>RANK(H3,$H$2:$H$5,0)</x:f>
        <x:v>4</x:v>
      </x:c>
      <x:c r="B3" s="4" t="str">
        <x:v>91330101B002</x:v>
      </x:c>
      <x:c r="C3" s="4" t="str">
        <x:v>青禾数据</x:v>
      </x:c>
      <x:c r="D3" s="4" t="n">
        <x:v>96</x:v>
      </x:c>
      <x:c r="E3" s="4" t="n">
        <x:v>80</x:v>
      </x:c>
      <x:c r="F3" s="4" t="n">
        <x:v>82</x:v>
      </x:c>
      <x:c r="G3" s="4" t="n">
        <x:v>88</x:v>
      </x:c>
      <x:c r="H3" s="8" t="n">
        <x:f>D3*40%+E3*30%+F3*20%+G3*10%</x:f>
        <x:v>87.60000000000001</x:v>
      </x:c>
      <x:c r="I3" s="4" t="str">
        <x:v>终审</x:v>
      </x:c>
      <x:c r="J3" s="4" t="str"/>
    </x:row>
    <x:row r="4">
      <x:c r="A4" s="4" t="n">
        <x:f>RANK(H4,$H$2:$H$5,0)</x:f>
        <x:v>1</x:v>
      </x:c>
      <x:c r="B4" s="4" t="str">
        <x:v>91330101C003</x:v>
      </x:c>
      <x:c r="C4" s="4" t="str">
        <x:v>远帆软件</x:v>
      </x:c>
      <x:c r="D4" s="4" t="n">
        <x:v>88</x:v>
      </x:c>
      <x:c r="E4" s="4" t="n">
        <x:v>95</x:v>
      </x:c>
      <x:c r="F4" s="4" t="n">
        <x:v>90</x:v>
      </x:c>
      <x:c r="G4" s="4" t="n">
        <x:v>85</x:v>
      </x:c>
      <x:c r="H4" s="8" t="n">
        <x:f>D4*40%+E4*30%+F4*20%+G4*10%</x:f>
        <x:v>90.2</x:v>
      </x:c>
      <x:c r="I4" s="4" t="str">
        <x:v>终审</x:v>
      </x:c>
      <x:c r="J4" s="4" t="str"/>
    </x:row>
    <x:row r="5">
      <x:c r="A5" s="4" t="n">
        <x:f>RANK(H5,$H$2:$H$5,0)</x:f>
        <x:v>3</x:v>
      </x:c>
      <x:c r="B5" s="4" t="str">
        <x:v>91330101D004</x:v>
      </x:c>
      <x:c r="C5" s="4" t="str">
        <x:v>启明咨询</x:v>
      </x:c>
      <x:c r="D5" s="4" t="n">
        <x:v>84</x:v>
      </x:c>
      <x:c r="E5" s="4" t="n">
        <x:v>89</x:v>
      </x:c>
      <x:c r="F5" s="4" t="n">
        <x:v>94</x:v>
      </x:c>
      <x:c r="G5" s="4" t="n">
        <x:v>91</x:v>
      </x:c>
      <x:c r="H5" s="8" t="n">
        <x:f>D5*40%+E5*30%+F5*20%+G5*10%</x:f>
        <x:v>88.19999999999999</x:v>
      </x:c>
      <x:c r="I5" s="4" t="str">
        <x:v>终审</x:v>
      </x:c>
      <x:c r="J5" s="4" t="str"/>
    </x:row>
  </x:sheetData>
  <x:pageMargins left="0.7" right="0.7" top="0.75" bottom="0.75" header="0.3" footer="0.3"/>
</x:worksheet>
</file>