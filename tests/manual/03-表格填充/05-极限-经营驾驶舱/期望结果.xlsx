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f0997a734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经营" sheetId="1" r:id="Rde2b074d193c4a6e"/>
    <x:sheet xmlns:r="http://schemas.openxmlformats.org/officeDocument/2006/relationships" name="月度明细" sheetId="2" r:id="Rf32c4031600d4e46"/>
    <x:sheet xmlns:r="http://schemas.openxmlformats.org/officeDocument/2006/relationships" name="异常说明" sheetId="3" r:id="R4a7365681644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E5D7B"/>
      </x:patternFill>
    </x:fill>
    <x:fill>
      <x:patternFill patternType="solid">
        <x:fgColor rgb="FFFFF8E7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0260e10da41cf" /><Relationship Type="http://schemas.openxmlformats.org/officeDocument/2006/relationships/theme" Target="/xl/theme/theme1.xml" Id="Rebf16e0fe3dc43ef" /><Relationship Type="http://schemas.openxmlformats.org/officeDocument/2006/relationships/sharedStrings" Target="/xl/sharedStrings.xml" Id="R264d788f59c64420" /><Relationship Type="http://schemas.openxmlformats.org/officeDocument/2006/relationships/worksheet" Target="/xl/worksheets/sheet1.xml" Id="Rde2b074d193c4a6e" /><Relationship Type="http://schemas.openxmlformats.org/officeDocument/2006/relationships/worksheet" Target="/xl/worksheets/sheet2.xml" Id="Rf32c4031600d4e46" /><Relationship Type="http://schemas.openxmlformats.org/officeDocument/2006/relationships/worksheet" Target="/xl/worksheets/sheet3.xml" Id="R4a7365681644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6" hidden="0" customWidth="1"/>
  </x:cols>
  <x:sheetData>
    <x:row r="1" ht="26" customHeight="1">
      <x:c r="A1" s="7" t="str">
        <x:v>区域</x:v>
      </x:c>
      <x:c r="B1" s="7" t="str">
        <x:v>净收入（万元）</x:v>
      </x:c>
      <x:c r="C1" s="7" t="str">
        <x:v>成本（万元）</x:v>
      </x:c>
      <x:c r="D1" s="7" t="str">
        <x:v>毛利（万元）</x:v>
      </x:c>
      <x:c r="E1" s="7" t="str">
        <x:v>毛利率</x:v>
      </x:c>
      <x:c r="F1" s="7" t="str">
        <x:v>预算（万元）</x:v>
      </x:c>
      <x:c r="G1" s="7" t="str">
        <x:v>预算达成率</x:v>
      </x:c>
    </x:row>
    <x:row r="2">
      <x:c r="A2" s="4" t="str">
        <x:v>华东</x:v>
      </x:c>
      <x:c r="B2" s="8" t="n">
        <x:v>1372</x:v>
      </x:c>
      <x:c r="C2" s="8" t="n">
        <x:v>865</x:v>
      </x:c>
      <x:c r="D2" s="8" t="n">
        <x:f>B2-C2</x:f>
        <x:v>507</x:v>
      </x:c>
      <x:c r="E2" s="9" t="n">
        <x:f>D2/B2</x:f>
        <x:v>0.369533527696793</x:v>
      </x:c>
      <x:c r="F2" s="8" t="n">
        <x:v>1450</x:v>
      </x:c>
      <x:c r="G2" s="9" t="n">
        <x:f>B2/F2</x:f>
        <x:v>0.9462068965517242</x:v>
      </x:c>
    </x:row>
    <x:row r="3">
      <x:c r="A3" s="4" t="str">
        <x:v>华南</x:v>
      </x:c>
      <x:c r="B3" s="8" t="n">
        <x:v>1080</x:v>
      </x:c>
      <x:c r="C3" s="8" t="n">
        <x:v>718</x:v>
      </x:c>
      <x:c r="D3" s="8" t="n">
        <x:f>B3-C3</x:f>
        <x:v>362</x:v>
      </x:c>
      <x:c r="E3" s="9" t="n">
        <x:f>D3/B3</x:f>
        <x:v>0.3351851851851852</x:v>
      </x:c>
      <x:c r="F3" s="8" t="n">
        <x:v>1100</x:v>
      </x:c>
      <x:c r="G3" s="9" t="n">
        <x:f>B3/F3</x:f>
        <x:v>0.9818181818181818</x:v>
      </x:c>
    </x:row>
    <x:row r="4">
      <x:c r="A4" s="4" t="str">
        <x:v>华北</x:v>
      </x:c>
      <x:c r="B4" s="8" t="n">
        <x:v>920</x:v>
      </x:c>
      <x:c r="C4" s="8" t="n">
        <x:v>636</x:v>
      </x:c>
      <x:c r="D4" s="8" t="n">
        <x:f>B4-C4</x:f>
        <x:v>284</x:v>
      </x:c>
      <x:c r="E4" s="9" t="n">
        <x:f>D4/B4</x:f>
        <x:v>0.30869565217391304</x:v>
      </x:c>
      <x:c r="F4" s="8" t="n">
        <x:v>930</x:v>
      </x:c>
      <x:c r="G4" s="9" t="n">
        <x:f>B4/F4</x:f>
        <x:v>0.989247311827957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8" hidden="0" customWidth="1"/>
    <x:col min="5" max="5" width="28" hidden="0" customWidth="1"/>
  </x:cols>
  <x:sheetData>
    <x:row r="1" ht="26" customHeight="1">
      <x:c r="A1" s="7" t="str">
        <x:v>月份</x:v>
      </x:c>
      <x:c r="B1" s="7" t="str">
        <x:v>区域</x:v>
      </x:c>
      <x:c r="C1" s="7" t="str">
        <x:v>净收入（万元）</x:v>
      </x:c>
      <x:c r="D1" s="7" t="str">
        <x:v>成本（万元）</x:v>
      </x:c>
      <x:c r="E1" s="7" t="str">
        <x:v>备注</x:v>
      </x:c>
    </x:row>
    <x:row r="2">
      <x:c r="A2" s="4" t="str">
        <x:v>2026-04</x:v>
      </x:c>
      <x:c r="B2" s="4" t="str">
        <x:v>华东</x:v>
      </x:c>
      <x:c r="C2" s="8" t="n">
        <x:v>420</x:v>
      </x:c>
      <x:c r="D2" s="8" t="n">
        <x:v>265</x:v>
      </x:c>
      <x:c r="E2" s="4" t="str"/>
    </x:row>
    <x:row r="3">
      <x:c r="A3" s="4" t="str">
        <x:v>2026-05</x:v>
      </x:c>
      <x:c r="B3" s="4" t="str">
        <x:v>华东</x:v>
      </x:c>
      <x:c r="C3" s="8" t="n">
        <x:v>460</x:v>
      </x:c>
      <x:c r="D3" s="8" t="n">
        <x:v>282</x:v>
      </x:c>
      <x:c r="E3" s="4" t="str"/>
    </x:row>
    <x:row r="4">
      <x:c r="A4" s="4" t="str">
        <x:v>2026-06</x:v>
      </x:c>
      <x:c r="B4" s="4" t="str">
        <x:v>华东</x:v>
      </x:c>
      <x:c r="C4" s="8" t="n">
        <x:v>492</x:v>
      </x:c>
      <x:c r="D4" s="8" t="n">
        <x:v>318</x:v>
      </x:c>
      <x:c r="E4" s="4" t="str">
        <x:v>扣除退款 18 万元</x:v>
      </x:c>
    </x:row>
    <x:row r="5">
      <x:c r="A5" s="4" t="str">
        <x:v>2026-04</x:v>
      </x:c>
      <x:c r="B5" s="4" t="str">
        <x:v>华南</x:v>
      </x:c>
      <x:c r="C5" s="8" t="n">
        <x:v>330</x:v>
      </x:c>
      <x:c r="D5" s="8" t="n">
        <x:v>228</x:v>
      </x:c>
      <x:c r="E5" s="4" t="str"/>
    </x:row>
    <x:row r="6">
      <x:c r="A6" s="4" t="str">
        <x:v>2026-05</x:v>
      </x:c>
      <x:c r="B6" s="4" t="str">
        <x:v>华南</x:v>
      </x:c>
      <x:c r="C6" s="8" t="n">
        <x:v>360</x:v>
      </x:c>
      <x:c r="D6" s="8" t="n">
        <x:v>239</x:v>
      </x:c>
      <x:c r="E6" s="4" t="str"/>
    </x:row>
    <x:row r="7">
      <x:c r="A7" s="4" t="str">
        <x:v>2026-06</x:v>
      </x:c>
      <x:c r="B7" s="4" t="str">
        <x:v>华南</x:v>
      </x:c>
      <x:c r="C7" s="8" t="n">
        <x:v>390</x:v>
      </x:c>
      <x:c r="D7" s="8" t="n">
        <x:v>251</x:v>
      </x:c>
      <x:c r="E7" s="4" t="str">
        <x:v>成本凭证去重</x:v>
      </x:c>
    </x:row>
    <x:row r="8">
      <x:c r="A8" s="4" t="str">
        <x:v>2026-04</x:v>
      </x:c>
      <x:c r="B8" s="4" t="str">
        <x:v>华北</x:v>
      </x:c>
      <x:c r="C8" s="8" t="n">
        <x:v>280</x:v>
      </x:c>
      <x:c r="D8" s="8" t="n">
        <x:v>201</x:v>
      </x:c>
      <x:c r="E8" s="4" t="str"/>
    </x:row>
    <x:row r="9">
      <x:c r="A9" s="4" t="str">
        <x:v>2026-05</x:v>
      </x:c>
      <x:c r="B9" s="4" t="str">
        <x:v>华北</x:v>
      </x:c>
      <x:c r="C9" s="8" t="n">
        <x:v>300</x:v>
      </x:c>
      <x:c r="D9" s="8" t="n">
        <x:v>209</x:v>
      </x:c>
      <x:c r="E9" s="4" t="str"/>
    </x:row>
    <x:row r="10">
      <x:c r="A10" s="4" t="str">
        <x:v>2026-06</x:v>
      </x:c>
      <x:c r="B10" s="4" t="str">
        <x:v>华北</x:v>
      </x:c>
      <x:c r="C10" s="8" t="n">
        <x:v>340</x:v>
      </x:c>
      <x:c r="D10" s="8" t="n">
        <x:v>226</x:v>
      </x:c>
      <x:c r="E10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0" hidden="0" customWidth="1"/>
    <x:col min="4" max="4" width="26" hidden="0" customWidth="1"/>
    <x:col min="5" max="5" width="34" hidden="0" customWidth="1"/>
  </x:cols>
  <x:sheetData>
    <x:row r="1" ht="26" customHeight="1">
      <x:c r="A1" s="7" t="str">
        <x:v>编号</x:v>
      </x:c>
      <x:c r="B1" s="7" t="str">
        <x:v>类型</x:v>
      </x:c>
      <x:c r="C1" s="7" t="str">
        <x:v>位置</x:v>
      </x:c>
      <x:c r="D1" s="7" t="str">
        <x:v>处理</x:v>
      </x:c>
      <x:c r="E1" s="7" t="str">
        <x:v>来源依据</x:v>
      </x:c>
    </x:row>
    <x:row r="2">
      <x:c r="A2" s="10" t="n">
        <x:v>1</x:v>
      </x:c>
      <x:c r="B2" s="10" t="str">
        <x:v>退款调整</x:v>
      </x:c>
      <x:c r="C2" s="10" t="str">
        <x:v>华东/2026-06</x:v>
      </x:c>
      <x:c r="D2" s="10" t="str">
        <x:v>收入扣减 18 万元</x:v>
      </x:c>
      <x:c r="E2" s="10" t="str">
        <x:v>补充说明与收入表 R-0601</x:v>
      </x:c>
    </x:row>
    <x:row r="3">
      <x:c r="A3" s="10" t="n">
        <x:v>2</x:v>
      </x:c>
      <x:c r="B3" s="10" t="str">
        <x:v>重复记录</x:v>
      </x:c>
      <x:c r="C3" s="10" t="str">
        <x:v>华南/2026-06</x:v>
      </x:c>
      <x:c r="D3" s="10" t="str">
        <x:v>成本凭证 C-0602 仅计一次</x:v>
      </x:c>
      <x:c r="E3" s="10" t="str">
        <x:v>补充说明与成本表</x:v>
      </x:c>
    </x:row>
    <x:row r="4">
      <x:c r="A4" s="10" t="n">
        <x:v>3</x:v>
      </x:c>
      <x:c r="B4" s="10" t="str">
        <x:v>版本选择</x:v>
      </x:c>
      <x:c r="C4" s="10" t="str">
        <x:v>华北预算</x:v>
      </x:c>
      <x:c r="D4" s="10" t="str">
        <x:v>采用版本 3：930 万元</x:v>
      </x:c>
      <x:c r="E4" s="10" t="str">
        <x:v>预算版本表生效状态</x:v>
      </x:c>
    </x:row>
  </x:sheetData>
  <x:pageMargins left="0.7" right="0.7" top="0.75" bottom="0.75" header="0.3" footer="0.3"/>
</x:worksheet>
</file>